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240" yWindow="15" windowWidth="16095" windowHeight="9660" activeTab="3"/>
  </bookViews>
  <sheets>
    <sheet name="Sheet4" sheetId="4" r:id="rId1"/>
    <sheet name="Main Data" sheetId="1" r:id="rId2"/>
    <sheet name="YOY Growth" sheetId="2" r:id="rId3"/>
    <sheet name="High Demand Brand On Market" sheetId="3" r:id="rId4"/>
    <sheet name="Reveneu" sheetId="5" r:id="rId5"/>
  </sheets>
  <calcPr calcId="144525"/>
  <pivotCaches>
    <pivotCache cacheId="20" r:id="rId6"/>
    <pivotCache cacheId="18" r:id="rId7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<sst xmlns="http://schemas.openxmlformats.org/spreadsheetml/2006/main" count="166" uniqueCount="81">
  <si>
    <t>product_id</t>
  </si>
  <si>
    <t>product_name</t>
  </si>
  <si>
    <t>brand</t>
  </si>
  <si>
    <t>category</t>
  </si>
  <si>
    <t>price</t>
  </si>
  <si>
    <t>stock</t>
  </si>
  <si>
    <t>rating</t>
  </si>
  <si>
    <t>launch_date</t>
  </si>
  <si>
    <t>iPhone 14 Pro</t>
  </si>
  <si>
    <t>Samsung Galaxy S22</t>
  </si>
  <si>
    <t>MacBook Air M2</t>
  </si>
  <si>
    <t>Dell Inspiron 3501</t>
  </si>
  <si>
    <t>Sony WH-1000XM4</t>
  </si>
  <si>
    <t>HP Pavilion 15</t>
  </si>
  <si>
    <t>Realme 10 Pro</t>
  </si>
  <si>
    <t>Asus ROG 5</t>
  </si>
  <si>
    <t>Bose QuietComfort</t>
  </si>
  <si>
    <t>Lenovo ThinkPad T14</t>
  </si>
  <si>
    <t>Apple AirPods Pro</t>
  </si>
  <si>
    <t>Samsung M33</t>
  </si>
  <si>
    <t>Sony Bravia 55</t>
  </si>
  <si>
    <t>LG OLED C1</t>
  </si>
  <si>
    <t>Boat Rockerz 450</t>
  </si>
  <si>
    <t>HP Envy 13</t>
  </si>
  <si>
    <t>Realme Buds Air 3</t>
  </si>
  <si>
    <t>Samsung QLED 65</t>
  </si>
  <si>
    <t>Asus TUF Gaming F15</t>
  </si>
  <si>
    <t>Lenovo Legion 5</t>
  </si>
  <si>
    <t>Apple</t>
  </si>
  <si>
    <t>Samsung</t>
  </si>
  <si>
    <t>Dell</t>
  </si>
  <si>
    <t>Sony</t>
  </si>
  <si>
    <t>HP</t>
  </si>
  <si>
    <t>Realme</t>
  </si>
  <si>
    <t>Asus</t>
  </si>
  <si>
    <t>Bose</t>
  </si>
  <si>
    <t>Lenovo</t>
  </si>
  <si>
    <t>LG</t>
  </si>
  <si>
    <t>Boat</t>
  </si>
  <si>
    <t>Mobile</t>
  </si>
  <si>
    <t>Laptop</t>
  </si>
  <si>
    <t>Headphone</t>
  </si>
  <si>
    <t>TV</t>
  </si>
  <si>
    <t>2023-01-20</t>
  </si>
  <si>
    <t>2023-02-10</t>
  </si>
  <si>
    <t>2023-03-15</t>
  </si>
  <si>
    <t>2022-11-01</t>
  </si>
  <si>
    <t>2021-06-10</t>
  </si>
  <si>
    <t>2022-05-21</t>
  </si>
  <si>
    <t>2023-04-05</t>
  </si>
  <si>
    <t>2023-07-11</t>
  </si>
  <si>
    <t>2021-12-10</t>
  </si>
  <si>
    <t>2023-08-01</t>
  </si>
  <si>
    <t>2022-11-11</t>
  </si>
  <si>
    <t>2022-09-09</t>
  </si>
  <si>
    <t>2023-06-20</t>
  </si>
  <si>
    <t>2022-03-15</t>
  </si>
  <si>
    <t>2021-04-04</t>
  </si>
  <si>
    <t>2023-02-02</t>
  </si>
  <si>
    <t>2023-05-05</t>
  </si>
  <si>
    <t>2022-01-15</t>
  </si>
  <si>
    <t>2023-03-12</t>
  </si>
  <si>
    <t>2023-09-19</t>
  </si>
  <si>
    <t>Row Labels</t>
  </si>
  <si>
    <t>Grand Total</t>
  </si>
  <si>
    <t>Year</t>
  </si>
  <si>
    <t>Count of Year</t>
  </si>
  <si>
    <t>Total products launched in 2022 vs 2023</t>
  </si>
  <si>
    <t>YOY Growth</t>
  </si>
  <si>
    <r>
      <t>Insight:</t>
    </r>
    <r>
      <rPr>
        <sz val="11"/>
        <color theme="1"/>
        <rFont val="Calibri"/>
        <family val="2"/>
        <scheme val="minor"/>
      </rPr>
      <t xml:space="preserve"> Helps identify if the company is innovating enough or needs more launches.</t>
    </r>
  </si>
  <si>
    <t>Sum of rating</t>
  </si>
  <si>
    <t>Average of rating</t>
  </si>
  <si>
    <t>Column Labels</t>
  </si>
  <si>
    <t>High demand product</t>
  </si>
  <si>
    <t>Category wise product</t>
  </si>
  <si>
    <t>Brand</t>
  </si>
  <si>
    <t>Demand</t>
  </si>
  <si>
    <t>Max of rating</t>
  </si>
  <si>
    <t>Laptop and TV getting high sales on available category</t>
  </si>
  <si>
    <t>Sum of price</t>
  </si>
  <si>
    <t>Count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</si>
</sst>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NumberFormat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73" fontId="0" fillId="0" borderId="1" xfId="0" applyNumberFormat="1" applyBorder="1"/>
    <xf numFmtId="0" fontId="0" fillId="0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4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73" formatCode="0.0"/>
    </dxf>
    <dxf>
      <numFmt numFmtId="2" formatCode="0.00"/>
    </dxf>
    <dxf>
      <numFmt numFmtId="1" formatCode="0"/>
    </dxf>
    <dxf>
      <numFmt numFmtId="173" formatCode="0.0"/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3" formatCode="0.0"/>
    </dxf>
    <dxf>
      <numFmt numFmtId="173" formatCode="0.0"/>
    </dxf>
    <dxf>
      <numFmt numFmtId="173" formatCode="0.0"/>
    </dxf>
    <dxf>
      <numFmt numFmtId="173" formatCode="0.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Admin" refreshedDate="45979.533911921295" createdVersion="4" refreshedVersion="4" minRefreshableVersion="3" recordCount="20">
  <cacheSource type="worksheet">
    <worksheetSource ref="A1:I21" sheet="Main Data"/>
  </cacheSource>
  <cacheFields count="9">
    <cacheField name="product_id" numFmtId="0">
      <sharedItems containsSemiMixedTypes="0" containsString="0" containsNumber="1" containsInteger="1" minValue="1" maxValue="20"/>
    </cacheField>
    <cacheField name="product_name" numFmtId="0">
      <sharedItems/>
    </cacheField>
    <cacheField name="brand" numFmtId="0">
      <sharedItems count="11">
        <s v="Apple"/>
        <s v="Samsung"/>
        <s v="Dell"/>
        <s v="Sony"/>
        <s v="HP"/>
        <s v="Realme"/>
        <s v="Asus"/>
        <s v="Bose"/>
        <s v="Lenovo"/>
        <s v="LG"/>
        <s v="Boat"/>
      </sharedItems>
    </cacheField>
    <cacheField name="category" numFmtId="0">
      <sharedItems count="4">
        <s v="Mobile"/>
        <s v="Laptop"/>
        <s v="Headphone"/>
        <s v="TV"/>
      </sharedItems>
    </cacheField>
    <cacheField name="price" numFmtId="0">
      <sharedItems containsSemiMixedTypes="0" containsString="0" containsNumber="1" containsInteger="1" minValue="1500" maxValue="145000"/>
    </cacheField>
    <cacheField name="stock" numFmtId="0">
      <sharedItems containsSemiMixedTypes="0" containsString="0" containsNumber="1" containsInteger="1" minValue="12" maxValue="200" count="20">
        <n v="50"/>
        <n v="40"/>
        <n v="25"/>
        <n v="60"/>
        <n v="80"/>
        <n v="30"/>
        <n v="120"/>
        <n v="15"/>
        <n v="45"/>
        <n v="38"/>
        <n v="70"/>
        <n v="110"/>
        <n v="20"/>
        <n v="18"/>
        <n v="200"/>
        <n v="28"/>
        <n v="150"/>
        <n v="12"/>
        <n v="34"/>
        <n v="22"/>
      </sharedItems>
    </cacheField>
    <cacheField name="rating" numFmtId="0">
      <sharedItems containsSemiMixedTypes="0" containsString="0" containsNumber="1" minValue="4" maxValue="4.9000000000000004"/>
    </cacheField>
    <cacheField name="launch_date" numFmtId="0">
      <sharedItems/>
    </cacheField>
    <cacheField name="Year" numFmtId="0">
      <sharedItems containsSemiMixedTypes="0" containsString="0" containsNumber="1" containsInteger="1" minValue="2021" maxValue="2023" count="3">
        <n v="2023"/>
        <n v="2022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Admin" refreshedDate="45979.555623842592" createdVersion="4" refreshedVersion="4" minRefreshableVersion="3" recordCount="21">
  <cacheSource type="worksheet">
    <worksheetSource ref="A1:I1048576" sheet="Main Data"/>
  </cacheSource>
  <cacheFields count="9">
    <cacheField name="product_id" numFmtId="0">
      <sharedItems containsString="0" containsBlank="1" containsNumber="1" containsInteger="1" minValue="1" maxValue="20"/>
    </cacheField>
    <cacheField name="product_name" numFmtId="0">
      <sharedItems containsBlank="1"/>
    </cacheField>
    <cacheField name="brand" numFmtId="0">
      <sharedItems containsBlank="1"/>
    </cacheField>
    <cacheField name="category" numFmtId="0">
      <sharedItems containsBlank="1" count="5">
        <s v="Mobile"/>
        <s v="Laptop"/>
        <s v="Headphone"/>
        <s v="TV"/>
        <m/>
      </sharedItems>
    </cacheField>
    <cacheField name="price" numFmtId="0">
      <sharedItems containsString="0" containsBlank="1" containsNumber="1" containsInteger="1" minValue="1500" maxValue="145000"/>
    </cacheField>
    <cacheField name="stock" numFmtId="0">
      <sharedItems containsString="0" containsBlank="1" containsNumber="1" containsInteger="1" minValue="12" maxValue="200"/>
    </cacheField>
    <cacheField name="rating" numFmtId="0">
      <sharedItems containsString="0" containsBlank="1" containsNumber="1" minValue="4" maxValue="4.9000000000000004"/>
    </cacheField>
    <cacheField name="launch_date" numFmtId="0">
      <sharedItems containsBlank="1" count="21">
        <s v="2023-01-20"/>
        <s v="2023-02-10"/>
        <s v="2023-03-15"/>
        <s v="2022-11-01"/>
        <s v="2021-06-10"/>
        <s v="2022-05-21"/>
        <s v="2023-04-05"/>
        <s v="2023-07-11"/>
        <s v="2021-12-10"/>
        <s v="2023-08-01"/>
        <s v="2022-11-11"/>
        <s v="2022-09-09"/>
        <s v="2023-06-20"/>
        <s v="2022-03-15"/>
        <s v="2021-04-04"/>
        <s v="2023-02-02"/>
        <s v="2023-05-05"/>
        <s v="2022-01-15"/>
        <s v="2023-03-12"/>
        <s v="2023-09-19"/>
        <m/>
      </sharedItems>
    </cacheField>
    <cacheField name="Year" numFmtId="0">
      <sharedItems containsString="0" containsBlank="1" containsNumber="1" containsInteger="1" minValue="2021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s v="iPhone 14 Pro"/>
    <x v="0"/>
    <x v="0"/>
    <n v="120000"/>
    <x v="0"/>
    <n v="4.8"/>
    <s v="2023-01-20"/>
    <x v="0"/>
  </r>
  <r>
    <n v="2"/>
    <s v="Samsung Galaxy S22"/>
    <x v="1"/>
    <x v="0"/>
    <n v="78000"/>
    <x v="1"/>
    <n v="4.5999999999999996"/>
    <s v="2023-02-10"/>
    <x v="0"/>
  </r>
  <r>
    <n v="3"/>
    <s v="MacBook Air M2"/>
    <x v="0"/>
    <x v="1"/>
    <n v="145000"/>
    <x v="2"/>
    <n v="4.9000000000000004"/>
    <s v="2023-03-15"/>
    <x v="0"/>
  </r>
  <r>
    <n v="4"/>
    <s v="Dell Inspiron 3501"/>
    <x v="2"/>
    <x v="1"/>
    <n v="56000"/>
    <x v="3"/>
    <n v="4.2"/>
    <s v="2022-11-01"/>
    <x v="1"/>
  </r>
  <r>
    <n v="5"/>
    <s v="Sony WH-1000XM4"/>
    <x v="3"/>
    <x v="2"/>
    <n v="24000"/>
    <x v="4"/>
    <n v="4.7"/>
    <s v="2021-06-10"/>
    <x v="2"/>
  </r>
  <r>
    <n v="6"/>
    <s v="HP Pavilion 15"/>
    <x v="4"/>
    <x v="1"/>
    <n v="68000"/>
    <x v="5"/>
    <n v="4.3"/>
    <s v="2022-05-21"/>
    <x v="1"/>
  </r>
  <r>
    <n v="7"/>
    <s v="Realme 10 Pro"/>
    <x v="5"/>
    <x v="0"/>
    <n v="24000"/>
    <x v="6"/>
    <n v="4.0999999999999996"/>
    <s v="2023-04-05"/>
    <x v="0"/>
  </r>
  <r>
    <n v="8"/>
    <s v="Asus ROG 5"/>
    <x v="6"/>
    <x v="0"/>
    <n v="52000"/>
    <x v="7"/>
    <n v="4.5"/>
    <s v="2023-07-11"/>
    <x v="0"/>
  </r>
  <r>
    <n v="9"/>
    <s v="Bose QuietComfort"/>
    <x v="7"/>
    <x v="2"/>
    <n v="32000"/>
    <x v="8"/>
    <n v="4.8"/>
    <s v="2021-12-10"/>
    <x v="2"/>
  </r>
  <r>
    <n v="10"/>
    <s v="Lenovo ThinkPad T14"/>
    <x v="8"/>
    <x v="1"/>
    <n v="92000"/>
    <x v="9"/>
    <n v="4.5999999999999996"/>
    <s v="2023-08-01"/>
    <x v="0"/>
  </r>
  <r>
    <n v="11"/>
    <s v="Apple AirPods Pro"/>
    <x v="0"/>
    <x v="2"/>
    <n v="26000"/>
    <x v="10"/>
    <n v="4.7"/>
    <s v="2022-11-11"/>
    <x v="1"/>
  </r>
  <r>
    <n v="12"/>
    <s v="Samsung M33"/>
    <x v="1"/>
    <x v="0"/>
    <n v="19000"/>
    <x v="11"/>
    <n v="4.3"/>
    <s v="2022-09-09"/>
    <x v="1"/>
  </r>
  <r>
    <n v="13"/>
    <s v="Sony Bravia 55"/>
    <x v="3"/>
    <x v="3"/>
    <n v="82000"/>
    <x v="12"/>
    <n v="4.5999999999999996"/>
    <s v="2023-06-20"/>
    <x v="0"/>
  </r>
  <r>
    <n v="14"/>
    <s v="LG OLED C1"/>
    <x v="9"/>
    <x v="3"/>
    <n v="145000"/>
    <x v="13"/>
    <n v="4.9000000000000004"/>
    <s v="2022-03-15"/>
    <x v="1"/>
  </r>
  <r>
    <n v="15"/>
    <s v="Boat Rockerz 450"/>
    <x v="10"/>
    <x v="2"/>
    <n v="1500"/>
    <x v="14"/>
    <n v="4"/>
    <s v="2021-04-04"/>
    <x v="2"/>
  </r>
  <r>
    <n v="16"/>
    <s v="HP Envy 13"/>
    <x v="4"/>
    <x v="1"/>
    <n v="88000"/>
    <x v="15"/>
    <n v="4.4000000000000004"/>
    <s v="2023-02-02"/>
    <x v="0"/>
  </r>
  <r>
    <n v="17"/>
    <s v="Realme Buds Air 3"/>
    <x v="5"/>
    <x v="2"/>
    <n v="3999"/>
    <x v="16"/>
    <n v="4.2"/>
    <s v="2023-05-05"/>
    <x v="0"/>
  </r>
  <r>
    <n v="18"/>
    <s v="Samsung QLED 65"/>
    <x v="1"/>
    <x v="3"/>
    <n v="125000"/>
    <x v="17"/>
    <n v="4.8"/>
    <s v="2022-01-15"/>
    <x v="1"/>
  </r>
  <r>
    <n v="19"/>
    <s v="Asus TUF Gaming F15"/>
    <x v="6"/>
    <x v="1"/>
    <n v="78000"/>
    <x v="18"/>
    <n v="4.5"/>
    <s v="2023-03-12"/>
    <x v="0"/>
  </r>
  <r>
    <n v="20"/>
    <s v="Lenovo Legion 5"/>
    <x v="8"/>
    <x v="1"/>
    <n v="112000"/>
    <x v="19"/>
    <n v="4.7"/>
    <s v="2023-09-1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n v="1"/>
    <s v="iPhone 14 Pro"/>
    <s v="Apple"/>
    <x v="0"/>
    <n v="120000"/>
    <n v="50"/>
    <n v="4.8"/>
    <x v="0"/>
    <n v="2023"/>
  </r>
  <r>
    <n v="2"/>
    <s v="Samsung Galaxy S22"/>
    <s v="Samsung"/>
    <x v="0"/>
    <n v="78000"/>
    <n v="40"/>
    <n v="4.5999999999999996"/>
    <x v="1"/>
    <n v="2023"/>
  </r>
  <r>
    <n v="3"/>
    <s v="MacBook Air M2"/>
    <s v="Apple"/>
    <x v="1"/>
    <n v="145000"/>
    <n v="25"/>
    <n v="4.9000000000000004"/>
    <x v="2"/>
    <n v="2023"/>
  </r>
  <r>
    <n v="4"/>
    <s v="Dell Inspiron 3501"/>
    <s v="Dell"/>
    <x v="1"/>
    <n v="56000"/>
    <n v="60"/>
    <n v="4.2"/>
    <x v="3"/>
    <n v="2022"/>
  </r>
  <r>
    <n v="5"/>
    <s v="Sony WH-1000XM4"/>
    <s v="Sony"/>
    <x v="2"/>
    <n v="24000"/>
    <n v="80"/>
    <n v="4.7"/>
    <x v="4"/>
    <n v="2021"/>
  </r>
  <r>
    <n v="6"/>
    <s v="HP Pavilion 15"/>
    <s v="HP"/>
    <x v="1"/>
    <n v="68000"/>
    <n v="30"/>
    <n v="4.3"/>
    <x v="5"/>
    <n v="2022"/>
  </r>
  <r>
    <n v="7"/>
    <s v="Realme 10 Pro"/>
    <s v="Realme"/>
    <x v="0"/>
    <n v="24000"/>
    <n v="120"/>
    <n v="4.0999999999999996"/>
    <x v="6"/>
    <n v="2023"/>
  </r>
  <r>
    <n v="8"/>
    <s v="Asus ROG 5"/>
    <s v="Asus"/>
    <x v="0"/>
    <n v="52000"/>
    <n v="15"/>
    <n v="4.5"/>
    <x v="7"/>
    <n v="2023"/>
  </r>
  <r>
    <n v="9"/>
    <s v="Bose QuietComfort"/>
    <s v="Bose"/>
    <x v="2"/>
    <n v="32000"/>
    <n v="45"/>
    <n v="4.8"/>
    <x v="8"/>
    <n v="2021"/>
  </r>
  <r>
    <n v="10"/>
    <s v="Lenovo ThinkPad T14"/>
    <s v="Lenovo"/>
    <x v="1"/>
    <n v="92000"/>
    <n v="38"/>
    <n v="4.5999999999999996"/>
    <x v="9"/>
    <n v="2023"/>
  </r>
  <r>
    <n v="11"/>
    <s v="Apple AirPods Pro"/>
    <s v="Apple"/>
    <x v="2"/>
    <n v="26000"/>
    <n v="70"/>
    <n v="4.7"/>
    <x v="10"/>
    <n v="2022"/>
  </r>
  <r>
    <n v="12"/>
    <s v="Samsung M33"/>
    <s v="Samsung"/>
    <x v="0"/>
    <n v="19000"/>
    <n v="110"/>
    <n v="4.3"/>
    <x v="11"/>
    <n v="2022"/>
  </r>
  <r>
    <n v="13"/>
    <s v="Sony Bravia 55"/>
    <s v="Sony"/>
    <x v="3"/>
    <n v="82000"/>
    <n v="20"/>
    <n v="4.5999999999999996"/>
    <x v="12"/>
    <n v="2023"/>
  </r>
  <r>
    <n v="14"/>
    <s v="LG OLED C1"/>
    <s v="LG"/>
    <x v="3"/>
    <n v="145000"/>
    <n v="18"/>
    <n v="4.9000000000000004"/>
    <x v="13"/>
    <n v="2022"/>
  </r>
  <r>
    <n v="15"/>
    <s v="Boat Rockerz 450"/>
    <s v="Boat"/>
    <x v="2"/>
    <n v="1500"/>
    <n v="200"/>
    <n v="4"/>
    <x v="14"/>
    <n v="2021"/>
  </r>
  <r>
    <n v="16"/>
    <s v="HP Envy 13"/>
    <s v="HP"/>
    <x v="1"/>
    <n v="88000"/>
    <n v="28"/>
    <n v="4.4000000000000004"/>
    <x v="15"/>
    <n v="2023"/>
  </r>
  <r>
    <n v="17"/>
    <s v="Realme Buds Air 3"/>
    <s v="Realme"/>
    <x v="2"/>
    <n v="3999"/>
    <n v="150"/>
    <n v="4.2"/>
    <x v="16"/>
    <n v="2023"/>
  </r>
  <r>
    <n v="18"/>
    <s v="Samsung QLED 65"/>
    <s v="Samsung"/>
    <x v="3"/>
    <n v="125000"/>
    <n v="12"/>
    <n v="4.8"/>
    <x v="17"/>
    <n v="2022"/>
  </r>
  <r>
    <n v="19"/>
    <s v="Asus TUF Gaming F15"/>
    <s v="Asus"/>
    <x v="1"/>
    <n v="78000"/>
    <n v="34"/>
    <n v="4.5"/>
    <x v="18"/>
    <n v="2023"/>
  </r>
  <r>
    <n v="20"/>
    <s v="Lenovo Legion 5"/>
    <s v="Lenovo"/>
    <x v="1"/>
    <n v="112000"/>
    <n v="22"/>
    <n v="4.7"/>
    <x v="19"/>
    <n v="2023"/>
  </r>
  <r>
    <m/>
    <m/>
    <m/>
    <x v="4"/>
    <m/>
    <m/>
    <m/>
    <x v="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Year" fld="8" subtotal="count" baseField="0" baseItem="0"/>
  </dataFields>
  <formats count="2">
    <format dxfId="40">
      <pivotArea type="all" dataOnly="0" outline="0" fieldPosition="0"/>
    </format>
    <format dxfId="3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29:G33" firstHeaderRow="1" firstDataRow="1" firstDataCol="1" rowPageCount="1" colPageCount="1"/>
  <pivotFields count="9">
    <pivotField showAll="0"/>
    <pivotField showAll="0"/>
    <pivotField showAll="0"/>
    <pivotField axis="axisPage" multipleItemSelectionAllowed="1" showAll="0">
      <items count="6">
        <item h="1" x="2"/>
        <item h="1" x="1"/>
        <item h="1" x="0"/>
        <item x="3"/>
        <item h="1" x="4"/>
        <item t="default"/>
      </items>
    </pivotField>
    <pivotField showAll="0"/>
    <pivotField showAll="0"/>
    <pivotField dataField="1" showAll="0"/>
    <pivotField axis="axisRow" showAll="0" measureFilter="1">
      <items count="22">
        <item x="14"/>
        <item x="4"/>
        <item x="8"/>
        <item x="17"/>
        <item x="13"/>
        <item x="5"/>
        <item x="11"/>
        <item x="3"/>
        <item x="10"/>
        <item x="0"/>
        <item x="15"/>
        <item x="1"/>
        <item x="18"/>
        <item x="2"/>
        <item x="6"/>
        <item x="16"/>
        <item x="12"/>
        <item x="7"/>
        <item x="9"/>
        <item x="19"/>
        <item x="20"/>
        <item t="default"/>
      </items>
    </pivotField>
    <pivotField showAll="0"/>
  </pivotFields>
  <rowFields count="1">
    <field x="7"/>
  </rowFields>
  <rowItems count="4">
    <i>
      <x v="3"/>
    </i>
    <i>
      <x v="4"/>
    </i>
    <i>
      <x v="16"/>
    </i>
    <i t="grand">
      <x/>
    </i>
  </rowItems>
  <colItems count="1">
    <i/>
  </colItems>
  <pageFields count="1">
    <pageField fld="3" hier="-1"/>
  </pageFields>
  <dataFields count="1">
    <dataField name="Max of rating" fld="6" subtotal="max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22:N27" firstHeaderRow="1" firstDataRow="1" firstDataCol="1"/>
  <pivotFields count="9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ng" fld="6" subtotal="average" baseField="0" baseItem="0"/>
  </dataFields>
  <formats count="3">
    <format dxfId="15">
      <pivotArea collapsedLevelsAreSubtotals="1" fieldPosition="0">
        <references count="1">
          <reference field="3" count="0"/>
        </references>
      </pivotArea>
    </format>
    <format dxfId="16">
      <pivotArea outline="0" collapsedLevelsAreSubtotals="1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2:D35" firstHeaderRow="1" firstDataRow="2" firstDataCol="1"/>
  <pivotFields count="9">
    <pivotField showAll="0"/>
    <pivotField showAll="0"/>
    <pivotField axis="axisRow" showAll="0">
      <items count="12">
        <item x="0"/>
        <item x="6"/>
        <item x="10"/>
        <item x="7"/>
        <item x="2"/>
        <item x="4"/>
        <item x="8"/>
        <item x="9"/>
        <item x="5"/>
        <item x="1"/>
        <item x="3"/>
        <item t="default"/>
      </items>
    </pivotField>
    <pivotField axis="axisCol" showAll="0" measureFilter="1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3">
    <i>
      <x v="1"/>
    </i>
    <i>
      <x v="3"/>
    </i>
    <i t="grand">
      <x/>
    </i>
  </colItems>
  <dataFields count="1">
    <dataField name="Max of rating" fld="6" subtotal="max" baseField="2" baseItem="0"/>
  </dataFields>
  <formats count="2">
    <format dxfId="28">
      <pivotArea type="all" dataOnly="0" outline="0" fieldPosition="0"/>
    </format>
    <format dxfId="24">
      <pivotArea dataOnly="0" labelOnly="1" fieldPosition="0">
        <references count="1">
          <reference field="3" count="2">
            <x v="1"/>
            <x v="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F14" firstHeaderRow="1" firstDataRow="2" firstDataCol="1"/>
  <pivotFields count="9">
    <pivotField showAll="0"/>
    <pivotField showAll="0"/>
    <pivotField axis="axisRow" showAll="0">
      <items count="12">
        <item x="0"/>
        <item x="6"/>
        <item x="10"/>
        <item x="7"/>
        <item x="2"/>
        <item x="4"/>
        <item x="8"/>
        <item x="9"/>
        <item x="5"/>
        <item x="1"/>
        <item x="3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ating" fld="6" subtotal="average" baseField="2" baseItem="0"/>
  </dataFields>
  <formats count="5">
    <format dxfId="32">
      <pivotArea type="all" dataOnly="0" outline="0" fieldPosition="0"/>
    </format>
    <format dxfId="33">
      <pivotArea grandRow="1" outline="0" collapsedLevelsAreSubtotals="1" fieldPosition="0"/>
    </format>
    <format dxfId="34">
      <pivotArea field="2" grandCol="1" collapsedLevelsAreSubtotals="1" axis="axisRow" fieldPosition="0">
        <references count="1">
          <reference field="2" count="0"/>
        </references>
      </pivotArea>
    </format>
    <format dxfId="35">
      <pivotArea collapsedLevelsAreSubtotals="1" fieldPosition="0">
        <references count="2">
          <reference field="2" count="6">
            <x v="4"/>
            <x v="5"/>
            <x v="6"/>
            <x v="7"/>
            <x v="8"/>
            <x v="9"/>
          </reference>
          <reference field="3" count="1" selected="0">
            <x v="1"/>
          </reference>
        </references>
      </pivotArea>
    </format>
    <format dxfId="36">
      <pivotArea collapsedLevelsAreSubtotals="1" fieldPosition="0">
        <references count="2"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0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>
  <location ref="B3:E8" firstHeaderRow="0" firstDataRow="1" firstDataCol="1" rowPageCount="1" colPageCount="1"/>
  <pivotFields count="9">
    <pivotField showAll="0"/>
    <pivotField showAll="0"/>
    <pivotField axis="axisRow" showAll="0">
      <items count="12">
        <item x="0"/>
        <item x="6"/>
        <item x="10"/>
        <item x="7"/>
        <item x="2"/>
        <item x="4"/>
        <item x="8"/>
        <item x="9"/>
        <item x="5"/>
        <item x="1"/>
        <item x="3"/>
        <item t="default"/>
      </items>
    </pivotField>
    <pivotField axis="axisPage" multipleItemSelectionAllowed="1" showAll="0">
      <items count="5">
        <item x="2"/>
        <item h="1" x="1"/>
        <item h="1" x="0"/>
        <item h="1" x="3"/>
        <item t="default"/>
      </items>
    </pivotField>
    <pivotField dataField="1" showAll="0"/>
    <pivotField dataField="1" showAll="0">
      <items count="21">
        <item x="17"/>
        <item x="7"/>
        <item x="13"/>
        <item x="12"/>
        <item x="19"/>
        <item x="2"/>
        <item x="15"/>
        <item x="5"/>
        <item x="18"/>
        <item x="9"/>
        <item x="1"/>
        <item x="8"/>
        <item x="0"/>
        <item x="3"/>
        <item x="10"/>
        <item x="4"/>
        <item x="11"/>
        <item x="6"/>
        <item x="16"/>
        <item x="14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 v="3"/>
    </i>
    <i>
      <x/>
    </i>
    <i>
      <x v="10"/>
    </i>
    <i>
      <x v="8"/>
    </i>
    <i>
      <x v="2"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price" fld="4" baseField="0" baseItem="0"/>
    <dataField name="Count of stock" fld="5" subtotal="count" baseField="0" baseItem="0"/>
    <dataField name="Sum of rating" fld="6" baseField="0" baseItem="0"/>
  </dataFields>
  <formats count="3">
    <format dxfId="0">
      <pivotArea type="all" dataOnly="0" outline="0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B8" sqref="A3:B8"/>
    </sheetView>
  </sheetViews>
  <sheetFormatPr defaultRowHeight="14.25" x14ac:dyDescent="0.45"/>
  <cols>
    <col min="1" max="1" width="12.06640625" bestFit="1" customWidth="1"/>
    <col min="2" max="2" width="14.796875" style="2" bestFit="1" customWidth="1"/>
  </cols>
  <sheetData/>
  <conditionalFormatting sqref="B1:B2 B9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5" sqref="A1:I21"/>
    </sheetView>
  </sheetViews>
  <sheetFormatPr defaultRowHeight="14.25" x14ac:dyDescent="0.45"/>
  <cols>
    <col min="1" max="1" width="9.59765625" style="2" bestFit="1" customWidth="1"/>
    <col min="2" max="2" width="17.86328125" bestFit="1" customWidth="1"/>
    <col min="3" max="3" width="7.73046875" bestFit="1" customWidth="1"/>
    <col min="4" max="4" width="9.73046875" bestFit="1" customWidth="1"/>
    <col min="5" max="5" width="6.73046875" bestFit="1" customWidth="1"/>
    <col min="6" max="6" width="5" bestFit="1" customWidth="1"/>
    <col min="7" max="7" width="5.46484375" bestFit="1" customWidth="1"/>
    <col min="8" max="8" width="10.73046875" bestFit="1" customWidth="1"/>
  </cols>
  <sheetData>
    <row r="1" spans="1:9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65</v>
      </c>
    </row>
    <row r="2" spans="1:9" x14ac:dyDescent="0.45">
      <c r="A2" s="7">
        <v>1</v>
      </c>
      <c r="B2" s="8" t="s">
        <v>8</v>
      </c>
      <c r="C2" s="8" t="s">
        <v>28</v>
      </c>
      <c r="D2" s="8" t="s">
        <v>39</v>
      </c>
      <c r="E2" s="8">
        <v>120000</v>
      </c>
      <c r="F2" s="8">
        <v>50</v>
      </c>
      <c r="G2" s="8">
        <v>4.8</v>
      </c>
      <c r="H2" s="8" t="s">
        <v>43</v>
      </c>
      <c r="I2" s="8">
        <f>YEAR(H:H)</f>
        <v>2023</v>
      </c>
    </row>
    <row r="3" spans="1:9" x14ac:dyDescent="0.45">
      <c r="A3" s="7">
        <v>2</v>
      </c>
      <c r="B3" s="8" t="s">
        <v>9</v>
      </c>
      <c r="C3" s="8" t="s">
        <v>29</v>
      </c>
      <c r="D3" s="8" t="s">
        <v>39</v>
      </c>
      <c r="E3" s="8">
        <v>78000</v>
      </c>
      <c r="F3" s="8">
        <v>40</v>
      </c>
      <c r="G3" s="8">
        <v>4.5999999999999996</v>
      </c>
      <c r="H3" s="8" t="s">
        <v>44</v>
      </c>
      <c r="I3" s="8">
        <f>YEAR(H:H)</f>
        <v>2023</v>
      </c>
    </row>
    <row r="4" spans="1:9" x14ac:dyDescent="0.45">
      <c r="A4" s="7">
        <v>3</v>
      </c>
      <c r="B4" s="8" t="s">
        <v>10</v>
      </c>
      <c r="C4" s="8" t="s">
        <v>28</v>
      </c>
      <c r="D4" s="8" t="s">
        <v>40</v>
      </c>
      <c r="E4" s="8">
        <v>145000</v>
      </c>
      <c r="F4" s="8">
        <v>25</v>
      </c>
      <c r="G4" s="8">
        <v>4.9000000000000004</v>
      </c>
      <c r="H4" s="8" t="s">
        <v>45</v>
      </c>
      <c r="I4" s="8">
        <f t="shared" ref="I3:I21" si="0">YEAR(H:H)</f>
        <v>2023</v>
      </c>
    </row>
    <row r="5" spans="1:9" x14ac:dyDescent="0.45">
      <c r="A5" s="7">
        <v>4</v>
      </c>
      <c r="B5" s="8" t="s">
        <v>11</v>
      </c>
      <c r="C5" s="8" t="s">
        <v>30</v>
      </c>
      <c r="D5" s="8" t="s">
        <v>40</v>
      </c>
      <c r="E5" s="8">
        <v>56000</v>
      </c>
      <c r="F5" s="8">
        <v>60</v>
      </c>
      <c r="G5" s="8">
        <v>4.2</v>
      </c>
      <c r="H5" s="8" t="s">
        <v>46</v>
      </c>
      <c r="I5" s="8">
        <f t="shared" si="0"/>
        <v>2022</v>
      </c>
    </row>
    <row r="6" spans="1:9" x14ac:dyDescent="0.45">
      <c r="A6" s="7">
        <v>5</v>
      </c>
      <c r="B6" s="8" t="s">
        <v>12</v>
      </c>
      <c r="C6" s="8" t="s">
        <v>31</v>
      </c>
      <c r="D6" s="8" t="s">
        <v>41</v>
      </c>
      <c r="E6" s="8">
        <v>24000</v>
      </c>
      <c r="F6" s="8">
        <v>80</v>
      </c>
      <c r="G6" s="8">
        <v>4.7</v>
      </c>
      <c r="H6" s="8" t="s">
        <v>47</v>
      </c>
      <c r="I6" s="8">
        <f t="shared" si="0"/>
        <v>2021</v>
      </c>
    </row>
    <row r="7" spans="1:9" x14ac:dyDescent="0.45">
      <c r="A7" s="7">
        <v>6</v>
      </c>
      <c r="B7" s="8" t="s">
        <v>13</v>
      </c>
      <c r="C7" s="8" t="s">
        <v>32</v>
      </c>
      <c r="D7" s="8" t="s">
        <v>40</v>
      </c>
      <c r="E7" s="8">
        <v>68000</v>
      </c>
      <c r="F7" s="8">
        <v>30</v>
      </c>
      <c r="G7" s="8">
        <v>4.3</v>
      </c>
      <c r="H7" s="8" t="s">
        <v>48</v>
      </c>
      <c r="I7" s="8">
        <f t="shared" si="0"/>
        <v>2022</v>
      </c>
    </row>
    <row r="8" spans="1:9" x14ac:dyDescent="0.45">
      <c r="A8" s="7">
        <v>7</v>
      </c>
      <c r="B8" s="8" t="s">
        <v>14</v>
      </c>
      <c r="C8" s="8" t="s">
        <v>33</v>
      </c>
      <c r="D8" s="8" t="s">
        <v>39</v>
      </c>
      <c r="E8" s="8">
        <v>24000</v>
      </c>
      <c r="F8" s="8">
        <v>120</v>
      </c>
      <c r="G8" s="8">
        <v>4.0999999999999996</v>
      </c>
      <c r="H8" s="8" t="s">
        <v>49</v>
      </c>
      <c r="I8" s="8">
        <f t="shared" si="0"/>
        <v>2023</v>
      </c>
    </row>
    <row r="9" spans="1:9" x14ac:dyDescent="0.45">
      <c r="A9" s="7">
        <v>8</v>
      </c>
      <c r="B9" s="8" t="s">
        <v>15</v>
      </c>
      <c r="C9" s="8" t="s">
        <v>34</v>
      </c>
      <c r="D9" s="8" t="s">
        <v>39</v>
      </c>
      <c r="E9" s="8">
        <v>52000</v>
      </c>
      <c r="F9" s="8">
        <v>15</v>
      </c>
      <c r="G9" s="8">
        <v>4.5</v>
      </c>
      <c r="H9" s="8" t="s">
        <v>50</v>
      </c>
      <c r="I9" s="8">
        <f t="shared" si="0"/>
        <v>2023</v>
      </c>
    </row>
    <row r="10" spans="1:9" x14ac:dyDescent="0.45">
      <c r="A10" s="7">
        <v>9</v>
      </c>
      <c r="B10" s="8" t="s">
        <v>16</v>
      </c>
      <c r="C10" s="8" t="s">
        <v>35</v>
      </c>
      <c r="D10" s="8" t="s">
        <v>41</v>
      </c>
      <c r="E10" s="8">
        <v>32000</v>
      </c>
      <c r="F10" s="8">
        <v>45</v>
      </c>
      <c r="G10" s="8">
        <v>4.8</v>
      </c>
      <c r="H10" s="8" t="s">
        <v>51</v>
      </c>
      <c r="I10" s="8">
        <f t="shared" si="0"/>
        <v>2021</v>
      </c>
    </row>
    <row r="11" spans="1:9" x14ac:dyDescent="0.45">
      <c r="A11" s="7">
        <v>10</v>
      </c>
      <c r="B11" s="8" t="s">
        <v>17</v>
      </c>
      <c r="C11" s="8" t="s">
        <v>36</v>
      </c>
      <c r="D11" s="8" t="s">
        <v>40</v>
      </c>
      <c r="E11" s="8">
        <v>92000</v>
      </c>
      <c r="F11" s="8">
        <v>38</v>
      </c>
      <c r="G11" s="8">
        <v>4.5999999999999996</v>
      </c>
      <c r="H11" s="8" t="s">
        <v>52</v>
      </c>
      <c r="I11" s="8">
        <f t="shared" si="0"/>
        <v>2023</v>
      </c>
    </row>
    <row r="12" spans="1:9" x14ac:dyDescent="0.45">
      <c r="A12" s="7">
        <v>11</v>
      </c>
      <c r="B12" s="8" t="s">
        <v>18</v>
      </c>
      <c r="C12" s="8" t="s">
        <v>28</v>
      </c>
      <c r="D12" s="8" t="s">
        <v>41</v>
      </c>
      <c r="E12" s="8">
        <v>26000</v>
      </c>
      <c r="F12" s="8">
        <v>70</v>
      </c>
      <c r="G12" s="8">
        <v>4.7</v>
      </c>
      <c r="H12" s="8" t="s">
        <v>53</v>
      </c>
      <c r="I12" s="8">
        <f t="shared" si="0"/>
        <v>2022</v>
      </c>
    </row>
    <row r="13" spans="1:9" x14ac:dyDescent="0.45">
      <c r="A13" s="7">
        <v>12</v>
      </c>
      <c r="B13" s="8" t="s">
        <v>19</v>
      </c>
      <c r="C13" s="8" t="s">
        <v>29</v>
      </c>
      <c r="D13" s="8" t="s">
        <v>39</v>
      </c>
      <c r="E13" s="8">
        <v>19000</v>
      </c>
      <c r="F13" s="8">
        <v>110</v>
      </c>
      <c r="G13" s="8">
        <v>4.3</v>
      </c>
      <c r="H13" s="8" t="s">
        <v>54</v>
      </c>
      <c r="I13" s="8">
        <f t="shared" si="0"/>
        <v>2022</v>
      </c>
    </row>
    <row r="14" spans="1:9" x14ac:dyDescent="0.45">
      <c r="A14" s="7">
        <v>13</v>
      </c>
      <c r="B14" s="8" t="s">
        <v>20</v>
      </c>
      <c r="C14" s="8" t="s">
        <v>31</v>
      </c>
      <c r="D14" s="8" t="s">
        <v>42</v>
      </c>
      <c r="E14" s="8">
        <v>82000</v>
      </c>
      <c r="F14" s="8">
        <v>20</v>
      </c>
      <c r="G14" s="8">
        <v>4.5999999999999996</v>
      </c>
      <c r="H14" s="8" t="s">
        <v>55</v>
      </c>
      <c r="I14" s="8">
        <f t="shared" si="0"/>
        <v>2023</v>
      </c>
    </row>
    <row r="15" spans="1:9" x14ac:dyDescent="0.45">
      <c r="A15" s="7">
        <v>14</v>
      </c>
      <c r="B15" s="8" t="s">
        <v>21</v>
      </c>
      <c r="C15" s="8" t="s">
        <v>37</v>
      </c>
      <c r="D15" s="8" t="s">
        <v>42</v>
      </c>
      <c r="E15" s="8">
        <v>145000</v>
      </c>
      <c r="F15" s="8">
        <v>18</v>
      </c>
      <c r="G15" s="8">
        <v>4.9000000000000004</v>
      </c>
      <c r="H15" s="8" t="s">
        <v>56</v>
      </c>
      <c r="I15" s="8">
        <f t="shared" si="0"/>
        <v>2022</v>
      </c>
    </row>
    <row r="16" spans="1:9" x14ac:dyDescent="0.45">
      <c r="A16" s="7">
        <v>15</v>
      </c>
      <c r="B16" s="8" t="s">
        <v>22</v>
      </c>
      <c r="C16" s="8" t="s">
        <v>38</v>
      </c>
      <c r="D16" s="8" t="s">
        <v>41</v>
      </c>
      <c r="E16" s="8">
        <v>1500</v>
      </c>
      <c r="F16" s="8">
        <v>200</v>
      </c>
      <c r="G16" s="8">
        <v>4</v>
      </c>
      <c r="H16" s="8" t="s">
        <v>57</v>
      </c>
      <c r="I16" s="8">
        <f t="shared" si="0"/>
        <v>2021</v>
      </c>
    </row>
    <row r="17" spans="1:9" x14ac:dyDescent="0.45">
      <c r="A17" s="7">
        <v>16</v>
      </c>
      <c r="B17" s="8" t="s">
        <v>23</v>
      </c>
      <c r="C17" s="8" t="s">
        <v>32</v>
      </c>
      <c r="D17" s="8" t="s">
        <v>40</v>
      </c>
      <c r="E17" s="8">
        <v>88000</v>
      </c>
      <c r="F17" s="8">
        <v>28</v>
      </c>
      <c r="G17" s="8">
        <v>4.4000000000000004</v>
      </c>
      <c r="H17" s="8" t="s">
        <v>58</v>
      </c>
      <c r="I17" s="8">
        <f t="shared" si="0"/>
        <v>2023</v>
      </c>
    </row>
    <row r="18" spans="1:9" x14ac:dyDescent="0.45">
      <c r="A18" s="7">
        <v>17</v>
      </c>
      <c r="B18" s="8" t="s">
        <v>24</v>
      </c>
      <c r="C18" s="8" t="s">
        <v>33</v>
      </c>
      <c r="D18" s="8" t="s">
        <v>41</v>
      </c>
      <c r="E18" s="8">
        <v>3999</v>
      </c>
      <c r="F18" s="8">
        <v>150</v>
      </c>
      <c r="G18" s="8">
        <v>4.2</v>
      </c>
      <c r="H18" s="8" t="s">
        <v>59</v>
      </c>
      <c r="I18" s="8">
        <f t="shared" si="0"/>
        <v>2023</v>
      </c>
    </row>
    <row r="19" spans="1:9" x14ac:dyDescent="0.45">
      <c r="A19" s="7">
        <v>18</v>
      </c>
      <c r="B19" s="8" t="s">
        <v>25</v>
      </c>
      <c r="C19" s="8" t="s">
        <v>29</v>
      </c>
      <c r="D19" s="8" t="s">
        <v>42</v>
      </c>
      <c r="E19" s="8">
        <v>125000</v>
      </c>
      <c r="F19" s="8">
        <v>12</v>
      </c>
      <c r="G19" s="8">
        <v>4.8</v>
      </c>
      <c r="H19" s="8" t="s">
        <v>60</v>
      </c>
      <c r="I19" s="8">
        <f t="shared" si="0"/>
        <v>2022</v>
      </c>
    </row>
    <row r="20" spans="1:9" x14ac:dyDescent="0.45">
      <c r="A20" s="7">
        <v>19</v>
      </c>
      <c r="B20" s="8" t="s">
        <v>26</v>
      </c>
      <c r="C20" s="8" t="s">
        <v>34</v>
      </c>
      <c r="D20" s="8" t="s">
        <v>40</v>
      </c>
      <c r="E20" s="8">
        <v>78000</v>
      </c>
      <c r="F20" s="8">
        <v>34</v>
      </c>
      <c r="G20" s="8">
        <v>4.5</v>
      </c>
      <c r="H20" s="8" t="s">
        <v>61</v>
      </c>
      <c r="I20" s="8">
        <f t="shared" si="0"/>
        <v>2023</v>
      </c>
    </row>
    <row r="21" spans="1:9" x14ac:dyDescent="0.45">
      <c r="A21" s="7">
        <v>20</v>
      </c>
      <c r="B21" s="8" t="s">
        <v>27</v>
      </c>
      <c r="C21" s="8" t="s">
        <v>36</v>
      </c>
      <c r="D21" s="8" t="s">
        <v>40</v>
      </c>
      <c r="E21" s="8">
        <v>112000</v>
      </c>
      <c r="F21" s="8">
        <v>22</v>
      </c>
      <c r="G21" s="8">
        <v>4.7</v>
      </c>
      <c r="H21" s="8" t="s">
        <v>62</v>
      </c>
      <c r="I21" s="8">
        <f t="shared" si="0"/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4" sqref="C4"/>
    </sheetView>
  </sheetViews>
  <sheetFormatPr defaultRowHeight="14.25" x14ac:dyDescent="0.45"/>
  <cols>
    <col min="1" max="1" width="12.06640625" bestFit="1" customWidth="1"/>
    <col min="2" max="2" width="11.796875" bestFit="1" customWidth="1"/>
    <col min="3" max="3" width="32.9296875" bestFit="1" customWidth="1"/>
  </cols>
  <sheetData>
    <row r="1" spans="1:3" x14ac:dyDescent="0.45">
      <c r="A1" s="12" t="s">
        <v>68</v>
      </c>
      <c r="B1" s="12"/>
    </row>
    <row r="2" spans="1:3" x14ac:dyDescent="0.45">
      <c r="A2" s="10" t="s">
        <v>63</v>
      </c>
      <c r="B2" s="7" t="s">
        <v>66</v>
      </c>
      <c r="C2" t="s">
        <v>67</v>
      </c>
    </row>
    <row r="3" spans="1:3" x14ac:dyDescent="0.45">
      <c r="A3" s="7">
        <v>2021</v>
      </c>
      <c r="B3" s="11">
        <v>3</v>
      </c>
      <c r="C3" s="13" t="s">
        <v>69</v>
      </c>
    </row>
    <row r="4" spans="1:3" x14ac:dyDescent="0.45">
      <c r="A4" s="7">
        <v>2022</v>
      </c>
      <c r="B4" s="11">
        <v>6</v>
      </c>
    </row>
    <row r="5" spans="1:3" x14ac:dyDescent="0.45">
      <c r="A5" s="7">
        <v>2023</v>
      </c>
      <c r="B5" s="11">
        <v>11</v>
      </c>
    </row>
    <row r="6" spans="1:3" x14ac:dyDescent="0.45">
      <c r="A6" s="7" t="s">
        <v>64</v>
      </c>
      <c r="B6" s="11">
        <v>20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F30" sqref="F30:G30"/>
    </sheetView>
  </sheetViews>
  <sheetFormatPr defaultRowHeight="14.25" x14ac:dyDescent="0.45"/>
  <cols>
    <col min="1" max="1" width="12.06640625" customWidth="1"/>
    <col min="2" max="2" width="14.73046875" customWidth="1"/>
    <col min="3" max="3" width="3.73046875" customWidth="1"/>
    <col min="4" max="4" width="10.19921875" customWidth="1"/>
    <col min="5" max="5" width="3.73046875" customWidth="1"/>
    <col min="6" max="6" width="12.06640625" customWidth="1"/>
    <col min="7" max="7" width="11.53125" customWidth="1"/>
    <col min="13" max="13" width="12.06640625" bestFit="1" customWidth="1"/>
    <col min="14" max="14" width="14.796875" bestFit="1" customWidth="1"/>
  </cols>
  <sheetData>
    <row r="1" spans="1:7" x14ac:dyDescent="0.45">
      <c r="A1" s="14" t="s">
        <v>71</v>
      </c>
      <c r="B1" s="14" t="s">
        <v>72</v>
      </c>
      <c r="C1" s="8"/>
      <c r="D1" s="8"/>
      <c r="E1" s="8"/>
      <c r="F1" s="8"/>
    </row>
    <row r="2" spans="1:7" x14ac:dyDescent="0.45">
      <c r="A2" s="14" t="s">
        <v>63</v>
      </c>
      <c r="B2" s="8" t="s">
        <v>41</v>
      </c>
      <c r="C2" s="8" t="s">
        <v>40</v>
      </c>
      <c r="D2" s="8" t="s">
        <v>39</v>
      </c>
      <c r="E2" s="8" t="s">
        <v>42</v>
      </c>
      <c r="F2" s="8" t="s">
        <v>64</v>
      </c>
    </row>
    <row r="3" spans="1:7" x14ac:dyDescent="0.45">
      <c r="A3" s="15" t="s">
        <v>28</v>
      </c>
      <c r="B3" s="16">
        <v>4.7</v>
      </c>
      <c r="C3" s="16">
        <v>4.9000000000000004</v>
      </c>
      <c r="D3" s="17">
        <v>4.8</v>
      </c>
      <c r="E3" s="16"/>
      <c r="F3" s="17">
        <v>4.8000000000000007</v>
      </c>
    </row>
    <row r="4" spans="1:7" x14ac:dyDescent="0.45">
      <c r="A4" s="15" t="s">
        <v>34</v>
      </c>
      <c r="B4" s="16"/>
      <c r="C4" s="16">
        <v>4.5</v>
      </c>
      <c r="D4" s="17">
        <v>4.5</v>
      </c>
      <c r="E4" s="16"/>
      <c r="F4" s="17">
        <v>4.5</v>
      </c>
    </row>
    <row r="5" spans="1:7" x14ac:dyDescent="0.45">
      <c r="A5" s="15" t="s">
        <v>38</v>
      </c>
      <c r="B5" s="16">
        <v>4</v>
      </c>
      <c r="C5" s="16"/>
      <c r="D5" s="17"/>
      <c r="E5" s="16"/>
      <c r="F5" s="17">
        <v>4</v>
      </c>
    </row>
    <row r="6" spans="1:7" x14ac:dyDescent="0.45">
      <c r="A6" s="15" t="s">
        <v>35</v>
      </c>
      <c r="B6" s="16">
        <v>4.8</v>
      </c>
      <c r="C6" s="16"/>
      <c r="D6" s="17"/>
      <c r="E6" s="16"/>
      <c r="F6" s="17">
        <v>4.8</v>
      </c>
    </row>
    <row r="7" spans="1:7" x14ac:dyDescent="0.45">
      <c r="A7" s="15" t="s">
        <v>30</v>
      </c>
      <c r="B7" s="16"/>
      <c r="C7" s="17">
        <v>4.2</v>
      </c>
      <c r="D7" s="17"/>
      <c r="E7" s="16"/>
      <c r="F7" s="17">
        <v>4.2</v>
      </c>
    </row>
    <row r="8" spans="1:7" x14ac:dyDescent="0.45">
      <c r="A8" s="15" t="s">
        <v>32</v>
      </c>
      <c r="B8" s="16"/>
      <c r="C8" s="17">
        <v>4.3499999999999996</v>
      </c>
      <c r="D8" s="17"/>
      <c r="E8" s="16"/>
      <c r="F8" s="17">
        <v>4.3499999999999996</v>
      </c>
    </row>
    <row r="9" spans="1:7" x14ac:dyDescent="0.45">
      <c r="A9" s="15" t="s">
        <v>36</v>
      </c>
      <c r="B9" s="16"/>
      <c r="C9" s="17">
        <v>4.6500000000000004</v>
      </c>
      <c r="D9" s="17"/>
      <c r="E9" s="16"/>
      <c r="F9" s="17">
        <v>4.6500000000000004</v>
      </c>
    </row>
    <row r="10" spans="1:7" x14ac:dyDescent="0.45">
      <c r="A10" s="15" t="s">
        <v>37</v>
      </c>
      <c r="B10" s="16"/>
      <c r="C10" s="17"/>
      <c r="D10" s="17"/>
      <c r="E10" s="16">
        <v>4.9000000000000004</v>
      </c>
      <c r="F10" s="17">
        <v>4.9000000000000004</v>
      </c>
    </row>
    <row r="11" spans="1:7" x14ac:dyDescent="0.45">
      <c r="A11" s="15" t="s">
        <v>33</v>
      </c>
      <c r="B11" s="16">
        <v>4.2</v>
      </c>
      <c r="C11" s="17"/>
      <c r="D11" s="17">
        <v>4.0999999999999996</v>
      </c>
      <c r="E11" s="16"/>
      <c r="F11" s="17">
        <v>4.1500000000000004</v>
      </c>
    </row>
    <row r="12" spans="1:7" x14ac:dyDescent="0.45">
      <c r="A12" s="15" t="s">
        <v>29</v>
      </c>
      <c r="B12" s="16"/>
      <c r="C12" s="17"/>
      <c r="D12" s="17">
        <v>4.4499999999999993</v>
      </c>
      <c r="E12" s="16">
        <v>4.8</v>
      </c>
      <c r="F12" s="17">
        <v>4.5666666666666664</v>
      </c>
    </row>
    <row r="13" spans="1:7" x14ac:dyDescent="0.45">
      <c r="A13" s="15" t="s">
        <v>31</v>
      </c>
      <c r="B13" s="16">
        <v>4.7</v>
      </c>
      <c r="C13" s="16"/>
      <c r="D13" s="16"/>
      <c r="E13" s="16">
        <v>4.5999999999999996</v>
      </c>
      <c r="F13" s="17">
        <v>4.6500000000000004</v>
      </c>
    </row>
    <row r="14" spans="1:7" x14ac:dyDescent="0.45">
      <c r="A14" s="15" t="s">
        <v>64</v>
      </c>
      <c r="B14" s="17">
        <v>4.4799999999999995</v>
      </c>
      <c r="C14" s="17">
        <v>4.5142857142857151</v>
      </c>
      <c r="D14" s="17">
        <v>4.46</v>
      </c>
      <c r="E14" s="17">
        <v>4.7666666666666666</v>
      </c>
      <c r="F14" s="17">
        <v>4.53</v>
      </c>
    </row>
    <row r="16" spans="1:7" x14ac:dyDescent="0.45">
      <c r="E16" t="s">
        <v>74</v>
      </c>
      <c r="F16" t="s">
        <v>75</v>
      </c>
      <c r="G16" t="s">
        <v>76</v>
      </c>
    </row>
    <row r="17" spans="1:14" x14ac:dyDescent="0.45">
      <c r="E17" t="s">
        <v>42</v>
      </c>
      <c r="F17" t="s">
        <v>36</v>
      </c>
      <c r="G17" t="s">
        <v>73</v>
      </c>
    </row>
    <row r="22" spans="1:14" x14ac:dyDescent="0.45">
      <c r="A22" s="18" t="s">
        <v>77</v>
      </c>
      <c r="B22" s="18" t="s">
        <v>72</v>
      </c>
      <c r="C22" s="18"/>
      <c r="D22" s="18"/>
      <c r="M22" s="3" t="s">
        <v>63</v>
      </c>
      <c r="N22" s="2" t="s">
        <v>71</v>
      </c>
    </row>
    <row r="23" spans="1:14" x14ac:dyDescent="0.45">
      <c r="A23" s="18" t="s">
        <v>63</v>
      </c>
      <c r="B23" s="19" t="s">
        <v>40</v>
      </c>
      <c r="C23" s="19" t="s">
        <v>42</v>
      </c>
      <c r="D23" s="18" t="s">
        <v>64</v>
      </c>
      <c r="M23" s="1" t="s">
        <v>41</v>
      </c>
      <c r="N23" s="20">
        <v>4.4799999999999995</v>
      </c>
    </row>
    <row r="24" spans="1:14" x14ac:dyDescent="0.45">
      <c r="A24" s="18" t="s">
        <v>28</v>
      </c>
      <c r="B24" s="18">
        <v>4.9000000000000004</v>
      </c>
      <c r="C24" s="18"/>
      <c r="D24" s="18">
        <v>4.9000000000000004</v>
      </c>
      <c r="M24" s="1" t="s">
        <v>40</v>
      </c>
      <c r="N24" s="20">
        <v>4.5142857142857142</v>
      </c>
    </row>
    <row r="25" spans="1:14" x14ac:dyDescent="0.45">
      <c r="A25" s="18" t="s">
        <v>34</v>
      </c>
      <c r="B25" s="18">
        <v>4.5</v>
      </c>
      <c r="C25" s="18"/>
      <c r="D25" s="18">
        <v>4.5</v>
      </c>
      <c r="F25" t="s">
        <v>78</v>
      </c>
      <c r="M25" s="1" t="s">
        <v>39</v>
      </c>
      <c r="N25" s="20">
        <v>4.46</v>
      </c>
    </row>
    <row r="26" spans="1:14" x14ac:dyDescent="0.45">
      <c r="A26" s="18" t="s">
        <v>38</v>
      </c>
      <c r="B26" s="18"/>
      <c r="C26" s="18"/>
      <c r="D26" s="18"/>
      <c r="M26" s="1" t="s">
        <v>42</v>
      </c>
      <c r="N26" s="20">
        <v>4.7666666666666666</v>
      </c>
    </row>
    <row r="27" spans="1:14" x14ac:dyDescent="0.45">
      <c r="A27" s="18" t="s">
        <v>35</v>
      </c>
      <c r="B27" s="18"/>
      <c r="C27" s="18"/>
      <c r="D27" s="18"/>
      <c r="F27" s="3" t="s">
        <v>3</v>
      </c>
      <c r="G27" t="s">
        <v>42</v>
      </c>
      <c r="M27" s="1" t="s">
        <v>64</v>
      </c>
      <c r="N27" s="9">
        <v>4.5299999999999994</v>
      </c>
    </row>
    <row r="28" spans="1:14" x14ac:dyDescent="0.45">
      <c r="A28" s="18" t="s">
        <v>30</v>
      </c>
      <c r="B28" s="18">
        <v>4.2</v>
      </c>
      <c r="C28" s="18"/>
      <c r="D28" s="18">
        <v>4.2</v>
      </c>
    </row>
    <row r="29" spans="1:14" x14ac:dyDescent="0.45">
      <c r="A29" s="18" t="s">
        <v>32</v>
      </c>
      <c r="B29" s="18">
        <v>4.4000000000000004</v>
      </c>
      <c r="C29" s="18"/>
      <c r="D29" s="18">
        <v>4.4000000000000004</v>
      </c>
      <c r="F29" s="3" t="s">
        <v>63</v>
      </c>
      <c r="G29" t="s">
        <v>77</v>
      </c>
    </row>
    <row r="30" spans="1:14" x14ac:dyDescent="0.45">
      <c r="A30" s="18" t="s">
        <v>36</v>
      </c>
      <c r="B30" s="18">
        <v>4.7</v>
      </c>
      <c r="C30" s="18"/>
      <c r="D30" s="18">
        <v>4.7</v>
      </c>
      <c r="F30" s="1" t="s">
        <v>60</v>
      </c>
      <c r="G30" s="4">
        <v>4.8</v>
      </c>
    </row>
    <row r="31" spans="1:14" x14ac:dyDescent="0.45">
      <c r="A31" s="18" t="s">
        <v>37</v>
      </c>
      <c r="B31" s="18"/>
      <c r="C31" s="18">
        <v>4.9000000000000004</v>
      </c>
      <c r="D31" s="18">
        <v>4.9000000000000004</v>
      </c>
      <c r="F31" s="1" t="s">
        <v>56</v>
      </c>
      <c r="G31" s="4">
        <v>4.9000000000000004</v>
      </c>
    </row>
    <row r="32" spans="1:14" x14ac:dyDescent="0.45">
      <c r="A32" s="18" t="s">
        <v>33</v>
      </c>
      <c r="B32" s="18"/>
      <c r="C32" s="18"/>
      <c r="D32" s="18"/>
      <c r="F32" s="1" t="s">
        <v>55</v>
      </c>
      <c r="G32" s="4">
        <v>4.5999999999999996</v>
      </c>
    </row>
    <row r="33" spans="1:7" x14ac:dyDescent="0.45">
      <c r="A33" s="18" t="s">
        <v>29</v>
      </c>
      <c r="B33" s="18"/>
      <c r="C33" s="18">
        <v>4.8</v>
      </c>
      <c r="D33" s="18">
        <v>4.8</v>
      </c>
      <c r="F33" s="1" t="s">
        <v>64</v>
      </c>
      <c r="G33" s="4">
        <v>4.9000000000000004</v>
      </c>
    </row>
    <row r="34" spans="1:7" x14ac:dyDescent="0.45">
      <c r="A34" s="18" t="s">
        <v>31</v>
      </c>
      <c r="B34" s="18"/>
      <c r="C34" s="18">
        <v>4.5999999999999996</v>
      </c>
      <c r="D34" s="18">
        <v>4.5999999999999996</v>
      </c>
    </row>
    <row r="35" spans="1:7" x14ac:dyDescent="0.45">
      <c r="A35" s="18" t="s">
        <v>64</v>
      </c>
      <c r="B35" s="18">
        <v>4.9000000000000004</v>
      </c>
      <c r="C35" s="18">
        <v>4.9000000000000004</v>
      </c>
      <c r="D35" s="18">
        <v>4.9000000000000004</v>
      </c>
    </row>
  </sheetData>
  <conditionalFormatting sqref="A3:F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F23 A24:A35"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2: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workbookViewId="0">
      <selection activeCell="E9" sqref="E9"/>
    </sheetView>
  </sheetViews>
  <sheetFormatPr defaultRowHeight="14.25" x14ac:dyDescent="0.45"/>
  <cols>
    <col min="2" max="2" width="12.06640625" bestFit="1" customWidth="1"/>
    <col min="3" max="3" width="11.9296875" customWidth="1"/>
    <col min="4" max="4" width="12.46484375" style="2" customWidth="1"/>
    <col min="5" max="5" width="11.6640625" customWidth="1"/>
    <col min="6" max="6" width="5.73046875" customWidth="1"/>
    <col min="7" max="8" width="6.73046875" customWidth="1"/>
    <col min="9" max="14" width="5.73046875" customWidth="1"/>
    <col min="15" max="15" width="6.73046875" customWidth="1"/>
    <col min="16" max="20" width="5.73046875" customWidth="1"/>
    <col min="21" max="22" width="4.73046875" customWidth="1"/>
    <col min="23" max="23" width="10.19921875" bestFit="1" customWidth="1"/>
  </cols>
  <sheetData>
    <row r="1" spans="2:5" x14ac:dyDescent="0.45">
      <c r="B1" s="14" t="s">
        <v>3</v>
      </c>
      <c r="C1" s="8" t="s">
        <v>41</v>
      </c>
    </row>
    <row r="3" spans="2:5" x14ac:dyDescent="0.45">
      <c r="B3" s="14" t="s">
        <v>63</v>
      </c>
      <c r="C3" s="8" t="s">
        <v>79</v>
      </c>
      <c r="D3" s="7" t="s">
        <v>80</v>
      </c>
      <c r="E3" s="8" t="s">
        <v>70</v>
      </c>
    </row>
    <row r="4" spans="2:5" x14ac:dyDescent="0.45">
      <c r="B4" s="15" t="s">
        <v>35</v>
      </c>
      <c r="C4" s="16">
        <v>32000</v>
      </c>
      <c r="D4" s="11">
        <v>1</v>
      </c>
      <c r="E4" s="16">
        <v>4.8</v>
      </c>
    </row>
    <row r="5" spans="2:5" x14ac:dyDescent="0.45">
      <c r="B5" s="15" t="s">
        <v>28</v>
      </c>
      <c r="C5" s="16">
        <v>26000</v>
      </c>
      <c r="D5" s="11">
        <v>1</v>
      </c>
      <c r="E5" s="16">
        <v>4.7</v>
      </c>
    </row>
    <row r="6" spans="2:5" x14ac:dyDescent="0.45">
      <c r="B6" s="15" t="s">
        <v>31</v>
      </c>
      <c r="C6" s="16">
        <v>24000</v>
      </c>
      <c r="D6" s="11">
        <v>1</v>
      </c>
      <c r="E6" s="16">
        <v>4.7</v>
      </c>
    </row>
    <row r="7" spans="2:5" x14ac:dyDescent="0.45">
      <c r="B7" s="15" t="s">
        <v>33</v>
      </c>
      <c r="C7" s="16">
        <v>3999</v>
      </c>
      <c r="D7" s="11">
        <v>1</v>
      </c>
      <c r="E7" s="16">
        <v>4.2</v>
      </c>
    </row>
    <row r="8" spans="2:5" x14ac:dyDescent="0.45">
      <c r="B8" s="15" t="s">
        <v>38</v>
      </c>
      <c r="C8" s="16">
        <v>1500</v>
      </c>
      <c r="D8" s="11">
        <v>1</v>
      </c>
      <c r="E8" s="16">
        <v>4</v>
      </c>
    </row>
    <row r="9" spans="2:5" x14ac:dyDescent="0.45">
      <c r="D9"/>
    </row>
    <row r="10" spans="2:5" x14ac:dyDescent="0.45">
      <c r="D10"/>
    </row>
    <row r="11" spans="2:5" x14ac:dyDescent="0.45">
      <c r="D11"/>
    </row>
    <row r="12" spans="2:5" x14ac:dyDescent="0.45">
      <c r="D12"/>
    </row>
    <row r="13" spans="2:5" x14ac:dyDescent="0.45">
      <c r="D13"/>
    </row>
    <row r="14" spans="2:5" x14ac:dyDescent="0.45">
      <c r="D14"/>
    </row>
  </sheetData>
  <conditionalFormatting pivot="1" sqref="C4:C8">
    <cfRule type="colorScale" priority="1">
      <colorScale>
        <cfvo type="min"/>
        <cfvo type="max"/>
        <color rgb="FFFFEF9C"/>
        <color rgb="FF63BE7B"/>
      </colorScale>
    </cfRule>
  </conditionalFormatting>
  <conditionalFormatting pivot="1" sqref="E4:E8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Main Data</vt:lpstr>
      <vt:lpstr>YOY Growth</vt:lpstr>
      <vt:lpstr>High Demand Brand On Market</vt:lpstr>
      <vt:lpstr>Reveneu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DEAdmin</cp:lastModifiedBy>
  <dcterms:created xsi:type="dcterms:W3CDTF">2025-11-17T20:12:06Z</dcterms:created>
  <dcterms:modified xsi:type="dcterms:W3CDTF">2025-11-18T08:56:39Z</dcterms:modified>
</cp:coreProperties>
</file>